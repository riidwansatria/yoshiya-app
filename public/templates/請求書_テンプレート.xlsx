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ridwansatria/Projects/yoshiya-app/public/templates/"/>
    </mc:Choice>
  </mc:AlternateContent>
  <xr:revisionPtr revIDLastSave="0" documentId="13_ncr:1_{7C1680AF-EF16-A948-A6FB-2E4563024062}" xr6:coauthVersionLast="47" xr6:coauthVersionMax="47" xr10:uidLastSave="{00000000-0000-0000-0000-000000000000}"/>
  <bookViews>
    <workbookView xWindow="17500" yWindow="5080" windowWidth="24980" windowHeight="18860" xr2:uid="{00000000-000D-0000-FFFF-FFFF00000000}"/>
  </bookViews>
  <sheets>
    <sheet name="請求書" sheetId="1" r:id="rId1"/>
  </sheets>
  <definedNames>
    <definedName name="_xlnm.Print_Area" localSheetId="0">請求書!$A:$H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H18" i="1"/>
  <c r="H19" i="1"/>
  <c r="H20" i="1"/>
  <c r="H21" i="1"/>
  <c r="H22" i="1"/>
  <c r="H23" i="1"/>
  <c r="H24" i="1"/>
  <c r="H25" i="1"/>
  <c r="H26" i="1"/>
  <c r="H27" i="1"/>
  <c r="H28" i="1"/>
  <c r="H29" i="1"/>
  <c r="H17" i="1"/>
  <c r="H31" i="1" s="1"/>
  <c r="B33" i="1"/>
  <c r="C33" i="1" s="1"/>
  <c r="B32" i="1" l="1"/>
  <c r="C32" i="1" s="1"/>
  <c r="H32" i="1"/>
  <c r="H33" i="1" l="1"/>
  <c r="B13" i="1" s="1"/>
</calcChain>
</file>

<file path=xl/sharedStrings.xml><?xml version="1.0" encoding="utf-8"?>
<sst xmlns="http://schemas.openxmlformats.org/spreadsheetml/2006/main" count="106" uniqueCount="40">
  <si>
    <t>発行日：</t>
  </si>
  <si>
    <t>御 請 求 書</t>
  </si>
  <si>
    <t>御中</t>
  </si>
  <si>
    <t>中央観光株式会社　良彌</t>
  </si>
  <si>
    <t>〒616-8384</t>
  </si>
  <si>
    <t>京都府京都市右京区嵯峨天龍寺造路町31</t>
  </si>
  <si>
    <t>下記の通り、御請求申し上げます。</t>
  </si>
  <si>
    <t>登録番号：T5130001001327</t>
  </si>
  <si>
    <t>件名：</t>
  </si>
  <si>
    <t>TEL：075-871-0448</t>
  </si>
  <si>
    <t>取引銀行：</t>
  </si>
  <si>
    <r>
      <rPr>
        <sz val="10"/>
        <color theme="1"/>
        <rFont val="游ゴシック"/>
        <charset val="128"/>
      </rPr>
      <t xml:space="preserve">京都銀行　嵯峨支店　普通 ) </t>
    </r>
    <r>
      <rPr>
        <sz val="11"/>
        <color theme="1"/>
        <rFont val="游ゴシック"/>
        <charset val="128"/>
      </rPr>
      <t>0308151</t>
    </r>
  </si>
  <si>
    <t>FAX：075-861-6300</t>
  </si>
  <si>
    <t>口座名義：</t>
  </si>
  <si>
    <t>中央観光株式会社　良弥</t>
  </si>
  <si>
    <t>ご請求金額</t>
  </si>
  <si>
    <t>(税込)</t>
  </si>
  <si>
    <t>内　容</t>
  </si>
  <si>
    <t>手数料</t>
  </si>
  <si>
    <t>数量</t>
  </si>
  <si>
    <t>単価(税込)</t>
  </si>
  <si>
    <t>税率</t>
  </si>
  <si>
    <t>金額(税込)</t>
  </si>
  <si>
    <t>税別内訳</t>
  </si>
  <si>
    <t>利用金額</t>
  </si>
  <si>
    <t>(内消費税額）</t>
  </si>
  <si>
    <t>小計</t>
  </si>
  <si>
    <t>10%対象分</t>
  </si>
  <si>
    <t>8%対象分</t>
  </si>
  <si>
    <t>合計</t>
  </si>
  <si>
    <t>備　考</t>
  </si>
  <si>
    <t>{{travelAgencyName}}</t>
  </si>
  <si>
    <t>{{groupName}}</t>
  </si>
  <si>
    <t>{{item.price}}</t>
  </si>
  <si>
    <t>{{issueDate}}</t>
  </si>
  <si>
    <t>{{bookingId}}</t>
  </si>
  <si>
    <t>{{item.description}}</t>
  </si>
  <si>
    <t>{{item.quantity}}</t>
  </si>
  <si>
    <t>{{item.taxRate}}</t>
  </si>
  <si>
    <t>{{item.rebate}}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</si>
</sst>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¥&quot;#,##0;[Red]&quot;¥&quot;\-#,##0"/>
  </numFmts>
  <fonts count="11">
    <font>
      <sz val="11"/>
      <color theme="1"/>
      <name val="Calibri"/>
      <scheme val="minor"/>
    </font>
    <font>
      <sz val="11"/>
      <color theme="1"/>
      <name val="游ゴシック"/>
      <charset val="128"/>
    </font>
    <font>
      <sz val="10"/>
      <color theme="1"/>
      <name val="Calibri"/>
      <family val="2"/>
      <scheme val="minor"/>
    </font>
    <font>
      <sz val="10"/>
      <color theme="1"/>
      <name val="游ゴシック"/>
      <charset val="128"/>
    </font>
    <font>
      <sz val="24"/>
      <color theme="1"/>
      <name val="游ゴシック"/>
      <charset val="128"/>
    </font>
    <font>
      <sz val="14"/>
      <color theme="1"/>
      <name val="游ゴシック"/>
      <charset val="128"/>
    </font>
    <font>
      <sz val="12"/>
      <color theme="1"/>
      <name val="游ゴシック"/>
      <charset val="128"/>
    </font>
    <font>
      <sz val="9"/>
      <color theme="1"/>
      <name val="游ゴシック"/>
      <charset val="128"/>
    </font>
    <font>
      <sz val="11"/>
      <name val="Calibri"/>
      <family val="2"/>
    </font>
    <font>
      <sz val="20"/>
      <color theme="1"/>
      <name val="游ゴシック"/>
      <charset val="128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18"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hair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20" fontId="1" fillId="0" borderId="0" xfId="0" applyNumberFormat="1" applyFont="1" applyAlignment="1">
      <alignment vertical="center"/>
    </xf>
    <xf numFmtId="0" fontId="7" fillId="0" borderId="7" xfId="0" applyFont="1" applyBorder="1"/>
    <xf numFmtId="0" fontId="3" fillId="2" borderId="14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9" fontId="3" fillId="0" borderId="13" xfId="0" applyNumberFormat="1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right" vertical="center"/>
    </xf>
    <xf numFmtId="9" fontId="3" fillId="0" borderId="14" xfId="0" applyNumberFormat="1" applyFont="1" applyBorder="1" applyAlignment="1">
      <alignment vertical="center"/>
    </xf>
    <xf numFmtId="164" fontId="3" fillId="0" borderId="14" xfId="0" applyNumberFormat="1" applyFont="1" applyBorder="1" applyAlignment="1">
      <alignment vertical="center"/>
    </xf>
    <xf numFmtId="0" fontId="3" fillId="0" borderId="0" xfId="0" applyFont="1" applyAlignment="1">
      <alignment horizontal="center"/>
    </xf>
    <xf numFmtId="164" fontId="3" fillId="0" borderId="17" xfId="0" applyNumberFormat="1" applyFont="1" applyBorder="1" applyAlignment="1">
      <alignment vertical="center"/>
    </xf>
    <xf numFmtId="0" fontId="3" fillId="2" borderId="14" xfId="0" applyFont="1" applyFill="1" applyBorder="1" applyAlignment="1">
      <alignment horizontal="right" vertical="center"/>
    </xf>
    <xf numFmtId="0" fontId="3" fillId="2" borderId="12" xfId="0" applyFont="1" applyFill="1" applyBorder="1" applyAlignment="1">
      <alignment horizontal="right" vertical="center"/>
    </xf>
    <xf numFmtId="0" fontId="3" fillId="0" borderId="9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3" fillId="2" borderId="15" xfId="0" applyFont="1" applyFill="1" applyBorder="1" applyAlignment="1">
      <alignment horizontal="center" vertical="center"/>
    </xf>
    <xf numFmtId="0" fontId="8" fillId="0" borderId="16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3" fillId="0" borderId="9" xfId="0" applyFont="1" applyBorder="1" applyAlignment="1">
      <alignment horizontal="left" vertical="top"/>
    </xf>
    <xf numFmtId="164" fontId="3" fillId="0" borderId="9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center"/>
    </xf>
    <xf numFmtId="0" fontId="8" fillId="0" borderId="3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164" fontId="5" fillId="0" borderId="2" xfId="0" applyNumberFormat="1" applyFont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3" fillId="2" borderId="9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view="pageBreakPreview" topLeftCell="A8" zoomScale="135" zoomScaleNormal="100" zoomScaleSheetLayoutView="100" workbookViewId="0">
      <selection activeCell="D29" sqref="D29"/>
    </sheetView>
  </sheetViews>
  <sheetFormatPr baseColWidth="10" defaultColWidth="14.5" defaultRowHeight="15" customHeight="1"/>
  <cols>
    <col min="1" max="1" width="10.83203125" customWidth="1"/>
    <col min="2" max="2" width="15.83203125" customWidth="1"/>
    <col min="3" max="3" width="7.83203125" customWidth="1"/>
    <col min="4" max="4" width="6.83203125" customWidth="1"/>
    <col min="5" max="5" width="5.83203125" customWidth="1"/>
    <col min="6" max="6" width="10.83203125" customWidth="1"/>
    <col min="7" max="7" width="4.83203125" customWidth="1"/>
    <col min="8" max="8" width="18.83203125" customWidth="1"/>
  </cols>
  <sheetData>
    <row r="1" spans="1:8" ht="18.75" customHeight="1">
      <c r="A1" s="1" t="s">
        <v>35</v>
      </c>
      <c r="B1" s="1"/>
      <c r="C1" s="1"/>
      <c r="D1" s="1"/>
      <c r="E1" s="1"/>
      <c r="F1" s="2"/>
      <c r="G1" s="3" t="s">
        <v>0</v>
      </c>
      <c r="H1" s="3" t="s">
        <v>34</v>
      </c>
    </row>
    <row r="2" spans="1:8" ht="33">
      <c r="A2" s="45" t="s">
        <v>1</v>
      </c>
      <c r="B2" s="46"/>
      <c r="C2" s="46"/>
      <c r="D2" s="46"/>
      <c r="E2" s="46"/>
      <c r="F2" s="46"/>
      <c r="G2" s="46"/>
      <c r="H2" s="46"/>
    </row>
    <row r="3" spans="1:8" ht="12" customHeight="1">
      <c r="A3" s="4"/>
      <c r="B3" s="4"/>
      <c r="C3" s="4"/>
      <c r="D3" s="4"/>
      <c r="E3" s="4"/>
      <c r="F3" s="4"/>
      <c r="G3" s="4"/>
      <c r="H3" s="4"/>
    </row>
    <row r="4" spans="1:8" ht="34.5" customHeight="1">
      <c r="A4" s="47" t="s">
        <v>31</v>
      </c>
      <c r="B4" s="42"/>
      <c r="C4" s="42"/>
      <c r="D4" s="5" t="s">
        <v>2</v>
      </c>
      <c r="E4" s="1"/>
    </row>
    <row r="5" spans="1:8" ht="18.75" customHeight="1">
      <c r="A5" s="41"/>
      <c r="B5" s="42"/>
      <c r="C5" s="42"/>
      <c r="D5" s="42"/>
      <c r="E5" s="6"/>
      <c r="F5" s="48" t="s">
        <v>3</v>
      </c>
      <c r="G5" s="42"/>
      <c r="H5" s="42"/>
    </row>
    <row r="6" spans="1:8" ht="12" customHeight="1">
      <c r="A6" s="41"/>
      <c r="B6" s="42"/>
      <c r="C6" s="42"/>
      <c r="D6" s="42"/>
      <c r="E6" s="6"/>
      <c r="F6" s="49" t="s">
        <v>4</v>
      </c>
      <c r="G6" s="42"/>
      <c r="H6" s="42"/>
    </row>
    <row r="7" spans="1:8" ht="18.75" customHeight="1">
      <c r="A7" s="41"/>
      <c r="B7" s="42"/>
      <c r="C7" s="42"/>
      <c r="D7" s="42"/>
      <c r="E7" s="6"/>
      <c r="F7" s="41" t="s">
        <v>5</v>
      </c>
      <c r="G7" s="42"/>
      <c r="H7" s="42"/>
    </row>
    <row r="8" spans="1:8" ht="18.75" customHeight="1">
      <c r="A8" s="41" t="s">
        <v>6</v>
      </c>
      <c r="B8" s="42"/>
      <c r="C8" s="42"/>
      <c r="D8" s="42"/>
      <c r="E8" s="6"/>
      <c r="F8" s="6" t="s">
        <v>7</v>
      </c>
      <c r="G8" s="6"/>
      <c r="H8" s="6"/>
    </row>
    <row r="9" spans="1:8" ht="18.75" customHeight="1">
      <c r="A9" s="3" t="s">
        <v>8</v>
      </c>
      <c r="B9" s="43" t="s">
        <v>32</v>
      </c>
      <c r="C9" s="42"/>
      <c r="D9" s="42"/>
      <c r="E9" s="6"/>
      <c r="F9" s="41" t="s">
        <v>9</v>
      </c>
      <c r="G9" s="42"/>
      <c r="H9" s="42"/>
    </row>
    <row r="10" spans="1:8" ht="18.75" customHeight="1">
      <c r="A10" s="3" t="s">
        <v>10</v>
      </c>
      <c r="B10" s="43" t="s">
        <v>11</v>
      </c>
      <c r="C10" s="42"/>
      <c r="D10" s="42"/>
      <c r="E10" s="6"/>
      <c r="F10" s="41" t="s">
        <v>12</v>
      </c>
      <c r="G10" s="42"/>
      <c r="H10" s="42"/>
    </row>
    <row r="11" spans="1:8" ht="18.75" customHeight="1">
      <c r="A11" s="3" t="s">
        <v>13</v>
      </c>
      <c r="B11" s="43" t="s">
        <v>14</v>
      </c>
      <c r="C11" s="42"/>
      <c r="D11" s="42"/>
      <c r="E11" s="6"/>
      <c r="F11" s="41"/>
      <c r="G11" s="42"/>
      <c r="H11" s="42"/>
    </row>
    <row r="12" spans="1:8" ht="6.75" customHeight="1">
      <c r="A12" s="7"/>
      <c r="B12" s="1"/>
      <c r="C12" s="1"/>
      <c r="D12" s="1"/>
      <c r="E12" s="1"/>
      <c r="F12" s="44"/>
      <c r="G12" s="42"/>
      <c r="H12" s="42"/>
    </row>
    <row r="13" spans="1:8" ht="18" customHeight="1">
      <c r="A13" s="32" t="s">
        <v>15</v>
      </c>
      <c r="B13" s="34" t="e">
        <f>H33</f>
        <v>#VALUE!</v>
      </c>
      <c r="C13" s="31"/>
      <c r="D13" s="37" t="s">
        <v>16</v>
      </c>
      <c r="E13" s="1"/>
      <c r="F13" s="44"/>
      <c r="G13" s="42"/>
      <c r="H13" s="42"/>
    </row>
    <row r="14" spans="1:8" ht="18.75" customHeight="1">
      <c r="A14" s="33"/>
      <c r="B14" s="35"/>
      <c r="C14" s="36"/>
      <c r="D14" s="38"/>
      <c r="E14" s="1"/>
      <c r="F14" s="44"/>
      <c r="G14" s="42"/>
      <c r="H14" s="42"/>
    </row>
    <row r="15" spans="1:8" ht="13.5" customHeight="1">
      <c r="A15" s="1"/>
      <c r="B15" s="1"/>
      <c r="C15" s="1"/>
      <c r="D15" s="1"/>
      <c r="E15" s="8"/>
      <c r="F15" s="8"/>
      <c r="G15" s="40"/>
      <c r="H15" s="36"/>
    </row>
    <row r="16" spans="1:8" ht="22.5" customHeight="1">
      <c r="A16" s="39" t="s">
        <v>17</v>
      </c>
      <c r="B16" s="22"/>
      <c r="C16" s="23"/>
      <c r="D16" s="18" t="s">
        <v>18</v>
      </c>
      <c r="E16" s="20" t="s">
        <v>19</v>
      </c>
      <c r="F16" s="9" t="s">
        <v>20</v>
      </c>
      <c r="G16" s="10" t="s">
        <v>21</v>
      </c>
      <c r="H16" s="10" t="s">
        <v>22</v>
      </c>
    </row>
    <row r="17" spans="1:8" ht="22.5" customHeight="1">
      <c r="A17" s="21" t="s">
        <v>36</v>
      </c>
      <c r="B17" s="22"/>
      <c r="C17" s="23"/>
      <c r="D17" s="11" t="s">
        <v>39</v>
      </c>
      <c r="E17" s="19" t="s">
        <v>37</v>
      </c>
      <c r="F17" s="12" t="s">
        <v>33</v>
      </c>
      <c r="G17" s="13" t="s">
        <v>38</v>
      </c>
      <c r="H17" s="14" t="e">
        <f t="shared" ref="H17:H30" si="0">IF(ISBLANK(F17), "", F17*E17)</f>
        <v>#VALUE!</v>
      </c>
    </row>
    <row r="18" spans="1:8" ht="22.5" customHeight="1">
      <c r="A18" s="21" t="s">
        <v>36</v>
      </c>
      <c r="B18" s="22"/>
      <c r="C18" s="23"/>
      <c r="D18" s="11" t="s">
        <v>39</v>
      </c>
      <c r="E18" s="19" t="s">
        <v>37</v>
      </c>
      <c r="F18" s="12" t="s">
        <v>33</v>
      </c>
      <c r="G18" s="13" t="s">
        <v>38</v>
      </c>
      <c r="H18" s="14" t="e">
        <f t="shared" si="0"/>
        <v>#VALUE!</v>
      </c>
    </row>
    <row r="19" spans="1:8" ht="22.5" customHeight="1">
      <c r="A19" s="21" t="s">
        <v>36</v>
      </c>
      <c r="B19" s="22"/>
      <c r="C19" s="23"/>
      <c r="D19" s="11" t="s">
        <v>39</v>
      </c>
      <c r="E19" s="19" t="s">
        <v>37</v>
      </c>
      <c r="F19" s="12" t="s">
        <v>33</v>
      </c>
      <c r="G19" s="13" t="s">
        <v>38</v>
      </c>
      <c r="H19" s="14" t="e">
        <f t="shared" si="0"/>
        <v>#VALUE!</v>
      </c>
    </row>
    <row r="20" spans="1:8" ht="22.5" customHeight="1">
      <c r="A20" s="21" t="s">
        <v>36</v>
      </c>
      <c r="B20" s="22"/>
      <c r="C20" s="23"/>
      <c r="D20" s="11" t="s">
        <v>39</v>
      </c>
      <c r="E20" s="19" t="s">
        <v>37</v>
      </c>
      <c r="F20" s="12" t="s">
        <v>33</v>
      </c>
      <c r="G20" s="13" t="s">
        <v>38</v>
      </c>
      <c r="H20" s="14" t="e">
        <f t="shared" si="0"/>
        <v>#VALUE!</v>
      </c>
    </row>
    <row r="21" spans="1:8" ht="22.5" customHeight="1">
      <c r="A21" s="21" t="s">
        <v>36</v>
      </c>
      <c r="B21" s="22"/>
      <c r="C21" s="23"/>
      <c r="D21" s="11" t="s">
        <v>39</v>
      </c>
      <c r="E21" s="19" t="s">
        <v>37</v>
      </c>
      <c r="F21" s="12" t="s">
        <v>33</v>
      </c>
      <c r="G21" s="13" t="s">
        <v>38</v>
      </c>
      <c r="H21" s="14" t="e">
        <f t="shared" si="0"/>
        <v>#VALUE!</v>
      </c>
    </row>
    <row r="22" spans="1:8" ht="22.5" customHeight="1">
      <c r="A22" s="21" t="s">
        <v>36</v>
      </c>
      <c r="B22" s="22"/>
      <c r="C22" s="23"/>
      <c r="D22" s="11" t="s">
        <v>39</v>
      </c>
      <c r="E22" s="19" t="s">
        <v>37</v>
      </c>
      <c r="F22" s="12" t="s">
        <v>33</v>
      </c>
      <c r="G22" s="13" t="s">
        <v>38</v>
      </c>
      <c r="H22" s="14" t="e">
        <f t="shared" si="0"/>
        <v>#VALUE!</v>
      </c>
    </row>
    <row r="23" spans="1:8" ht="22.5" customHeight="1">
      <c r="A23" s="21" t="s">
        <v>36</v>
      </c>
      <c r="B23" s="22"/>
      <c r="C23" s="23"/>
      <c r="D23" s="11" t="s">
        <v>39</v>
      </c>
      <c r="E23" s="19" t="s">
        <v>37</v>
      </c>
      <c r="F23" s="12" t="s">
        <v>33</v>
      </c>
      <c r="G23" s="13" t="s">
        <v>38</v>
      </c>
      <c r="H23" s="14" t="e">
        <f t="shared" si="0"/>
        <v>#VALUE!</v>
      </c>
    </row>
    <row r="24" spans="1:8" ht="22.5" customHeight="1">
      <c r="A24" s="21" t="s">
        <v>36</v>
      </c>
      <c r="B24" s="22"/>
      <c r="C24" s="23"/>
      <c r="D24" s="11" t="s">
        <v>39</v>
      </c>
      <c r="E24" s="19" t="s">
        <v>37</v>
      </c>
      <c r="F24" s="12" t="s">
        <v>33</v>
      </c>
      <c r="G24" s="13" t="s">
        <v>38</v>
      </c>
      <c r="H24" s="14" t="e">
        <f t="shared" si="0"/>
        <v>#VALUE!</v>
      </c>
    </row>
    <row r="25" spans="1:8" ht="22.5" customHeight="1">
      <c r="A25" s="21" t="s">
        <v>36</v>
      </c>
      <c r="B25" s="22"/>
      <c r="C25" s="23"/>
      <c r="D25" s="11" t="s">
        <v>39</v>
      </c>
      <c r="E25" s="19" t="s">
        <v>37</v>
      </c>
      <c r="F25" s="12" t="s">
        <v>33</v>
      </c>
      <c r="G25" s="13" t="s">
        <v>38</v>
      </c>
      <c r="H25" s="14" t="e">
        <f t="shared" si="0"/>
        <v>#VALUE!</v>
      </c>
    </row>
    <row r="26" spans="1:8" ht="22.5" customHeight="1">
      <c r="A26" s="21" t="s">
        <v>36</v>
      </c>
      <c r="B26" s="22"/>
      <c r="C26" s="23"/>
      <c r="D26" s="11" t="s">
        <v>39</v>
      </c>
      <c r="E26" s="19" t="s">
        <v>37</v>
      </c>
      <c r="F26" s="12" t="s">
        <v>33</v>
      </c>
      <c r="G26" s="13" t="s">
        <v>38</v>
      </c>
      <c r="H26" s="14" t="e">
        <f t="shared" si="0"/>
        <v>#VALUE!</v>
      </c>
    </row>
    <row r="27" spans="1:8" ht="22.5" customHeight="1">
      <c r="A27" s="21" t="s">
        <v>36</v>
      </c>
      <c r="B27" s="22"/>
      <c r="C27" s="23"/>
      <c r="D27" s="11" t="s">
        <v>39</v>
      </c>
      <c r="E27" s="19" t="s">
        <v>37</v>
      </c>
      <c r="F27" s="12" t="s">
        <v>33</v>
      </c>
      <c r="G27" s="13" t="s">
        <v>38</v>
      </c>
      <c r="H27" s="14" t="e">
        <f t="shared" si="0"/>
        <v>#VALUE!</v>
      </c>
    </row>
    <row r="28" spans="1:8" ht="22.5" customHeight="1">
      <c r="A28" s="21" t="s">
        <v>36</v>
      </c>
      <c r="B28" s="22"/>
      <c r="C28" s="23"/>
      <c r="D28" s="11" t="s">
        <v>39</v>
      </c>
      <c r="E28" s="19" t="s">
        <v>37</v>
      </c>
      <c r="F28" s="12" t="s">
        <v>33</v>
      </c>
      <c r="G28" s="13" t="s">
        <v>38</v>
      </c>
      <c r="H28" s="14" t="e">
        <f t="shared" si="0"/>
        <v>#VALUE!</v>
      </c>
    </row>
    <row r="29" spans="1:8" ht="22.5" customHeight="1">
      <c r="A29" s="21" t="s">
        <v>36</v>
      </c>
      <c r="B29" s="22"/>
      <c r="C29" s="23"/>
      <c r="D29" s="11" t="s">
        <v>39</v>
      </c>
      <c r="E29" s="19" t="s">
        <v>37</v>
      </c>
      <c r="F29" s="12" t="s">
        <v>33</v>
      </c>
      <c r="G29" s="13" t="s">
        <v>38</v>
      </c>
      <c r="H29" s="14" t="e">
        <f t="shared" si="0"/>
        <v>#VALUE!</v>
      </c>
    </row>
    <row r="30" spans="1:8" ht="22.5" customHeight="1">
      <c r="A30" s="21" t="s">
        <v>36</v>
      </c>
      <c r="B30" s="22"/>
      <c r="C30" s="23"/>
      <c r="D30" s="11" t="s">
        <v>39</v>
      </c>
      <c r="E30" s="19" t="s">
        <v>37</v>
      </c>
      <c r="F30" s="12" t="s">
        <v>33</v>
      </c>
      <c r="G30" s="13" t="s">
        <v>38</v>
      </c>
      <c r="H30" s="14" t="e">
        <f t="shared" si="0"/>
        <v>#VALUE!</v>
      </c>
    </row>
    <row r="31" spans="1:8" ht="22.5" customHeight="1">
      <c r="A31" s="15" t="s">
        <v>23</v>
      </c>
      <c r="B31" s="15" t="s">
        <v>24</v>
      </c>
      <c r="C31" s="30" t="s">
        <v>25</v>
      </c>
      <c r="D31" s="31"/>
      <c r="E31" s="6"/>
      <c r="F31" s="24" t="s">
        <v>26</v>
      </c>
      <c r="G31" s="25"/>
      <c r="H31" s="16" t="e">
        <f>SUM(H17:H30)</f>
        <v>#VALUE!</v>
      </c>
    </row>
    <row r="32" spans="1:8" ht="22.5" customHeight="1">
      <c r="A32" s="17" t="s">
        <v>27</v>
      </c>
      <c r="B32" s="12" t="e">
        <f>SUMIF(G17:G30, 10%, H17:H30) - SUMPRODUCT(--(G17:G30=10%), H17:H30, D17:D30)</f>
        <v>#VALUE!</v>
      </c>
      <c r="C32" s="29" t="e">
        <f>ROUND(B32-B32/1.1,1)</f>
        <v>#VALUE!</v>
      </c>
      <c r="D32" s="27"/>
      <c r="E32" s="6"/>
      <c r="F32" s="24" t="s">
        <v>18</v>
      </c>
      <c r="G32" s="25"/>
      <c r="H32" s="16" t="e">
        <f>SUMPRODUCT(H17:H30, D17:D30)</f>
        <v>#VALUE!</v>
      </c>
    </row>
    <row r="33" spans="1:8" ht="22.5" customHeight="1">
      <c r="A33" s="17" t="s">
        <v>28</v>
      </c>
      <c r="B33" s="12">
        <f>SUMIF(G17:G30, 8%, H17:H30)</f>
        <v>0</v>
      </c>
      <c r="C33" s="29">
        <f>ROUND(B33-B33/1.08,1)</f>
        <v>0</v>
      </c>
      <c r="D33" s="27"/>
      <c r="E33" s="6"/>
      <c r="F33" s="24" t="s">
        <v>29</v>
      </c>
      <c r="G33" s="25"/>
      <c r="H33" s="16" t="e">
        <f>H31-H32</f>
        <v>#VALUE!</v>
      </c>
    </row>
    <row r="34" spans="1:8" ht="12" customHeight="1">
      <c r="A34" s="6"/>
      <c r="B34" s="6"/>
      <c r="C34" s="6"/>
      <c r="D34" s="6"/>
      <c r="E34" s="6"/>
      <c r="F34" s="6"/>
      <c r="G34" s="6"/>
      <c r="H34" s="6"/>
    </row>
    <row r="35" spans="1:8" ht="22.5" customHeight="1">
      <c r="A35" s="26" t="s">
        <v>30</v>
      </c>
      <c r="B35" s="22"/>
      <c r="C35" s="22"/>
      <c r="D35" s="22"/>
      <c r="E35" s="22"/>
      <c r="F35" s="22"/>
      <c r="G35" s="22"/>
      <c r="H35" s="27"/>
    </row>
    <row r="36" spans="1:8" ht="66.75" customHeight="1">
      <c r="A36" s="28"/>
      <c r="B36" s="22"/>
      <c r="C36" s="22"/>
      <c r="D36" s="22"/>
      <c r="E36" s="22"/>
      <c r="F36" s="22"/>
      <c r="G36" s="22"/>
      <c r="H36" s="27"/>
    </row>
  </sheetData>
  <mergeCells count="45">
    <mergeCell ref="A2:H2"/>
    <mergeCell ref="A4:C4"/>
    <mergeCell ref="A5:D5"/>
    <mergeCell ref="F5:H5"/>
    <mergeCell ref="A6:D6"/>
    <mergeCell ref="F6:H6"/>
    <mergeCell ref="A23:C23"/>
    <mergeCell ref="G15:H15"/>
    <mergeCell ref="A7:D7"/>
    <mergeCell ref="A8:D8"/>
    <mergeCell ref="B9:D9"/>
    <mergeCell ref="F9:H9"/>
    <mergeCell ref="B10:D10"/>
    <mergeCell ref="F10:H10"/>
    <mergeCell ref="B11:D11"/>
    <mergeCell ref="F7:H7"/>
    <mergeCell ref="F11:H11"/>
    <mergeCell ref="F12:H12"/>
    <mergeCell ref="F13:H13"/>
    <mergeCell ref="F14:H14"/>
    <mergeCell ref="A18:C18"/>
    <mergeCell ref="A19:C19"/>
    <mergeCell ref="A20:C20"/>
    <mergeCell ref="A21:C21"/>
    <mergeCell ref="A22:C22"/>
    <mergeCell ref="A13:A14"/>
    <mergeCell ref="B13:C14"/>
    <mergeCell ref="D13:D14"/>
    <mergeCell ref="A16:C16"/>
    <mergeCell ref="A17:C17"/>
    <mergeCell ref="F33:G33"/>
    <mergeCell ref="A35:H35"/>
    <mergeCell ref="A36:H36"/>
    <mergeCell ref="C32:D32"/>
    <mergeCell ref="C33:D33"/>
    <mergeCell ref="A24:C24"/>
    <mergeCell ref="A25:C25"/>
    <mergeCell ref="A26:C26"/>
    <mergeCell ref="F31:G31"/>
    <mergeCell ref="F32:G32"/>
    <mergeCell ref="A29:C29"/>
    <mergeCell ref="A30:C30"/>
    <mergeCell ref="C31:D31"/>
    <mergeCell ref="A27:C27"/>
    <mergeCell ref="A28:C28"/>
  </mergeCells>
  <printOptions horizontalCentered="1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請求書</vt:lpstr>
      <vt:lpstr>請求書!Print_Area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ＳＡＴＲＩＡ　Ｍｕｈａｍｍａｄ　Ｒｉｄｗａｎ</cp:lastModifiedBy>
  <dcterms:modified xsi:type="dcterms:W3CDTF">2026-04-10T05:09:59Z</dcterms:modified>
</cp:coreProperties>
</file>